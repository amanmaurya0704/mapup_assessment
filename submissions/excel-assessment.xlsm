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Submission\MapUp-Data-Assessment-F\submissions\"/>
    </mc:Choice>
  </mc:AlternateContent>
  <xr:revisionPtr revIDLastSave="0" documentId="13_ncr:1_{7614FC85-1164-4EC2-9017-86233F97D5F3}" xr6:coauthVersionLast="47" xr6:coauthVersionMax="47" xr10:uidLastSave="{00000000-0000-0000-0000-000000000000}"/>
  <bookViews>
    <workbookView xWindow="-108" yWindow="-108" windowWidth="23256" windowHeight="12456" tabRatio="849" activeTab="7" xr2:uid="{00000000-000D-0000-FFFF-FFFF00000000}"/>
  </bookViews>
  <sheets>
    <sheet name="Instructions" sheetId="22" r:id="rId1"/>
    <sheet name="Dataset" sheetId="1" r:id="rId2"/>
    <sheet name="Task_1" sheetId="15" r:id="rId3"/>
    <sheet name="Task1 - Solved" sheetId="23" r:id="rId4"/>
    <sheet name="Task_2 - Solved" sheetId="18" r:id="rId5"/>
    <sheet name="Task_3 - Solved" sheetId="16" r:id="rId6"/>
    <sheet name="Task_4 - Solved" sheetId="19" r:id="rId7"/>
    <sheet name="Task_5" sheetId="20" r:id="rId8"/>
    <sheet name="Task 5 - Solution" sheetId="24" r:id="rId9"/>
  </sheets>
  <definedNames>
    <definedName name="_xlnm._FilterDatabase" localSheetId="1" hidden="1">Dataset!$A$1:$W$40</definedName>
    <definedName name="_xlnm._FilterDatabase" localSheetId="3" hidden="1">'Task1 - Solved'!$A$1:$W$40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" i="24" l="1"/>
  <c r="C26" i="24"/>
  <c r="C27" i="24"/>
  <c r="C28" i="24"/>
  <c r="C29" i="24"/>
  <c r="C30" i="24"/>
  <c r="C31" i="24"/>
  <c r="C32" i="24"/>
  <c r="C33" i="24"/>
  <c r="C34" i="24"/>
  <c r="C35" i="24"/>
  <c r="C36" i="24"/>
  <c r="C24" i="24"/>
  <c r="C22" i="19" a="1"/>
  <c r="C22" i="19" s="1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1" i="2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<sst xmlns="http://schemas.openxmlformats.org/spreadsheetml/2006/main" count="585" uniqueCount="189">
  <si>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</si>
  <si>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</si>
  <si>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</si>
  <si>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</si>
  <si>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</si>
  <si>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</si>
  <si>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</si>
  <si>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</si>
  <si>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</si>
  <si>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</si>
  <si>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</si>
  <si>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</si>
  <si>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</si>
  <si>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</si>
  <si>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</si>
  <si>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</si>
  <si>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</si>
  <si>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</si>
  <si>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</si>
  <si>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</si>
  <si>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</si>
  <si>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</si>
  <si>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</si>
  <si>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</si>
  <si>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</si>
  <si>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</si>
  <si>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</si>
  <si>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</si>
  <si>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</si>
  <si>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</si>
  <si>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</si>
  <si>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</si>
  <si>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</si>
  <si>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</si>
  <si>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</si>
  <si>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</si>
  <si>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</si>
  <si>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</si>
  <si>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</si>
  <si>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</si>
  <si>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</si>
  <si>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</si>
  <si>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</si>
  <si>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</si>
  <si>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</si>
  <si>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</si>
  <si>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</si>
  <si>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</si>
  <si>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</si>
  <si>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</si>
  <si>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</si>
  <si>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</si>
  <si>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</si>
  <si>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</si>
  <si>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</si>
  <si>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</si>
  <si>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</si>
  <si>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</si>
  <si>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</si>
  <si>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</si>
  <si>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</si>
  <si>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</si>
  <si>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</si>
  <si>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</si>
  <si>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</si>
  <si>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</si>
  <si>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</si>
  <si>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</si>
  <si>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</si>
  <si>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</si>
  <si>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</si>
  <si>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</si>
  <si>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</si>
  <si>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</si>
  <si>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</si>
  <si>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</si>
  <si>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</si>
  <si>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</si>
  <si>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</si>
  <si>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</si>
  <si>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</si>
  <si>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</si>
  <si>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</si>
  <si>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</si>
  <si>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</si>
  <si>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</si>
  <si>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</si>
  <si>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</si>
  <si>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</si>
  <si>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</si>
  <si>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</si>
  <si>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</si>
  <si>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</si>
  <si>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</si>
  <si>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</si>
  <si>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</si>
  <si>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</si>
  <si>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</si>
  <si>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</si>
  <si>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</si>
  <si>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</si>
  <si>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</si>
  <si>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</si>
  <si>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</si>
  <si>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</si>
  <si>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</si>
  <si>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</si>
  <si>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</si>
  <si>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</si>
  <si>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</si>
  <si>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</si>
  <si>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</si>
  <si>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</si>
  <si>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</si>
  <si>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</si>
  <si>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</si>
  <si>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</si>
  <si>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</si>
  <si>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</si>
  <si>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</si>
  <si>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</si>
  <si>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</si>
  <si>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</si>
  <si>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</si>
  <si>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</si>
  <si>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</si>
  <si>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</si>
  <si>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</si>
  <si>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</si>
  <si>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</si>
  <si>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</si>
  <si>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</si>
  <si>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</si>
  <si>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</si>
  <si>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</si>
  <si>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</si>
  <si>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</si>
  <si>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</si>
  <si>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</si>
  <si>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</si>
  <si>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</si>
  <si>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</si>
  <si>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</si>
  <si>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</si>
  <si>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</si>
  <si>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</si>
  <si>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</si>
  <si>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</si>
  <si>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</si>
  <si>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</si>
  <si>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</si>
  <si>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</si>
  <si>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</si>
  <si>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</si>
  <si>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</si>
  <si>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</si>
  <si>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</si>
  <si>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</si>
  <si>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</si>
  <si>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</si>
  <si>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</si>
  <si>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</si>
  <si>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</si>
  <si>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</si>
  <si>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</si>
  <si>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</si>
  <si>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</si>
  <si>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</si>
  <si>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</si>
  <si>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</si>
  <si>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</si>
  <si>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</si>
  <si>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</si>
  <si>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</si>
  <si>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</si>
  <si>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</si>
  <si>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</si>
  <si>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 "&gt;=20", H2:H40)</t>
  </si>
  <si>
    <t>Sum of values greater than 20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</si>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</sst>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63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6" borderId="0" xfId="0" applyFont="1" applyFill="1"/>
    <xf numFmtId="0" fontId="14" fillId="0" borderId="0" xfId="0" quotePrefix="1" applyFont="1"/>
    <xf numFmtId="166" fontId="3" fillId="0" borderId="0" xfId="0" applyNumberFormat="1" applyFont="1"/>
    <xf numFmtId="49" fontId="3" fillId="0" borderId="2" xfId="0" applyNumberFormat="1" applyFont="1" applyBorder="1"/>
    <xf numFmtId="49" fontId="3" fillId="0" borderId="4" xfId="0" applyNumberFormat="1" applyFont="1" applyBorder="1"/>
    <xf numFmtId="0" fontId="8" fillId="6" borderId="1" xfId="0" applyFont="1" applyFill="1" applyBorder="1"/>
    <xf numFmtId="0" fontId="8" fillId="0" borderId="0" xfId="0" applyFont="1" applyAlignment="1">
      <alignment wrapText="1"/>
    </xf>
    <xf numFmtId="0" fontId="9" fillId="0" borderId="11" xfId="0" applyFont="1" applyBorder="1"/>
    <xf numFmtId="0" fontId="9" fillId="0" borderId="6" xfId="0" applyFont="1" applyBorder="1"/>
    <xf numFmtId="0" fontId="9" fillId="0" borderId="8" xfId="0" applyFont="1" applyBorder="1"/>
    <xf numFmtId="0" fontId="9" fillId="0" borderId="4" xfId="0" applyFont="1" applyBorder="1"/>
    <xf numFmtId="0" fontId="9" fillId="0" borderId="12" xfId="0" applyFont="1" applyBorder="1"/>
    <xf numFmtId="0" fontId="8" fillId="0" borderId="13" xfId="0" applyFont="1" applyBorder="1"/>
    <xf numFmtId="0" fontId="8" fillId="0" borderId="14" xfId="0" applyFont="1" applyBorder="1"/>
    <xf numFmtId="0" fontId="7" fillId="0" borderId="6" xfId="0" applyFont="1" applyBorder="1"/>
    <xf numFmtId="0" fontId="7" fillId="0" borderId="4" xfId="0" applyFont="1" applyBorder="1"/>
    <xf numFmtId="0" fontId="18" fillId="7" borderId="1" xfId="0" applyFont="1" applyFill="1" applyBorder="1"/>
    <xf numFmtId="0" fontId="18" fillId="0" borderId="1" xfId="0" applyFont="1" applyBorder="1"/>
    <xf numFmtId="0" fontId="19" fillId="0" borderId="1" xfId="0" applyFont="1" applyBorder="1"/>
    <xf numFmtId="0" fontId="19" fillId="7" borderId="1" xfId="0" applyFont="1" applyFill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34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3"/>
      <tableStyleElement type="headerRow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A112733-CF66-4E05-A8C1-303E6B65AD9F}" name="Table4" displayName="Table4" ref="A9:J19" totalsRowShown="0" headerRowDxfId="25" dataDxfId="23" headerRowBorderDxfId="24" tableBorderDxfId="22" totalsRowBorderDxfId="21">
  <autoFilter ref="A9:J19" xr:uid="{FA112733-CF66-4E05-A8C1-303E6B65AD9F}"/>
  <tableColumns count="10">
    <tableColumn id="1" xr3:uid="{B00D34F5-046F-4D02-A8B1-F04E9E9FA425}" name="Column1" dataDxfId="20"/>
    <tableColumn id="2" xr3:uid="{2A33E6B9-EED8-4DFE-B042-B613E467D5A6}" name="Column2" dataDxfId="19"/>
    <tableColumn id="3" xr3:uid="{A5D06624-702E-47E8-8E24-FA481AE352CF}" name="Column3" dataDxfId="18"/>
    <tableColumn id="4" xr3:uid="{B6C85C01-C906-4997-90B8-B7E4D91E3759}" name="Column4" dataDxfId="17"/>
    <tableColumn id="5" xr3:uid="{CB1F1FAD-25FA-431C-A2E2-49D1309C0603}" name="Column5" dataDxfId="16"/>
    <tableColumn id="6" xr3:uid="{77928430-F2B6-4D4C-A8B5-5737000AEB07}" name="Column6" dataDxfId="15"/>
    <tableColumn id="7" xr3:uid="{1B6B1276-3E41-45C0-9BE4-5A074A1394F1}" name="Column7" dataDxfId="14"/>
    <tableColumn id="8" xr3:uid="{F69B2841-65F7-49D2-823D-5579E9CD084F}" name="Column8" dataDxfId="13"/>
    <tableColumn id="9" xr3:uid="{F15DD224-2A56-4C3F-B813-01DC0946CB1D}" name="Column9" dataDxfId="12"/>
    <tableColumn id="10" xr3:uid="{853004F8-7135-40E7-84B5-3383D7BBC809}" name="Column10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EFA9A68-4B6D-4B4E-80B1-C8F5F1A04EB2}" name="Table5" displayName="Table5" ref="M9:N18" totalsRowShown="0" headerRowDxfId="10" headerRowBorderDxfId="9" tableBorderDxfId="8">
  <autoFilter ref="M9:N18" xr:uid="{9EFA9A68-4B6D-4B4E-80B1-C8F5F1A04EB2}"/>
  <tableColumns count="2">
    <tableColumn id="1" xr3:uid="{7AA231BA-B6F7-4EED-A015-A8111D072C5F}" name="ID" dataDxfId="7"/>
    <tableColumn id="2" xr3:uid="{83129292-3C18-432D-AA2C-26606BAA9EBF}" name="Name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878FA4-0E7F-4414-B241-8036C29CD712}" name="Table6" displayName="Table6" ref="A22:C35" totalsRowShown="0" headerRowBorderDxfId="5" tableBorderDxfId="4">
  <autoFilter ref="A22:C35" xr:uid="{2B878FA4-0E7F-4414-B241-8036C29CD712}"/>
  <tableColumns count="3">
    <tableColumn id="1" xr3:uid="{C2B9B234-B6B0-47BF-8AFA-1317CA05C5BE}" name="name_1" dataDxfId="3"/>
    <tableColumn id="2" xr3:uid="{B561E9B5-3097-4DB7-A51F-CAB5D9950872}" name="name_2" dataDxfId="2"/>
    <tableColumn id="3" xr3:uid="{CB9EE677-4EF0-4FED-B620-9EA78960A723}" name="value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B4FF785-624F-4657-A3A9-3D04B7911271}" name="ID_Name" displayName="ID_Name" ref="A12:B21" totalsRowShown="0">
  <autoFilter ref="A12:B21" xr:uid="{AB4FF785-624F-4657-A3A9-3D04B7911271}"/>
  <tableColumns count="2">
    <tableColumn id="1" xr3:uid="{78AF4C20-FC7B-44FB-8E5B-58A79E37A927}" name="ID"/>
    <tableColumn id="2" xr3:uid="{E65BE291-4120-40D4-BD80-2C27145F380B}" name="Nam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E26892C-6139-4515-B181-3E04C7E4117B}" name="Table13" displayName="Table13" ref="A23:C36" totalsRowShown="0">
  <autoFilter ref="A23:C36" xr:uid="{FE26892C-6139-4515-B181-3E04C7E4117B}"/>
  <tableColumns count="3">
    <tableColumn id="1" xr3:uid="{B6D58199-2DDF-4085-B2CB-891116F43B07}" name="name_1"/>
    <tableColumn id="2" xr3:uid="{494DB2CB-A82B-41B4-9801-13688365BBD2}" name="name_2"/>
    <tableColumn id="3" xr3:uid="{B7640C9D-7006-493C-881B-7EF7364451A3}" name="value" dataDxfId="0">
      <calculatedColumnFormula>INDEX($B$2:$J$10,MATCH(Table13[[#This Row],[name_1]],ID_Name[ID],0),MATCH(Table13[[#This Row],[name_2]],ID_Name[ID],0))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selection activeCell="V1" sqref="V1"/>
    </sheetView>
  </sheetViews>
  <sheetFormatPr defaultColWidth="9" defaultRowHeight="14.4" x14ac:dyDescent="0.3"/>
  <cols>
    <col min="1" max="1" width="25.33203125" style="1" bestFit="1" customWidth="1"/>
    <col min="2" max="2" width="7.33203125" style="1" bestFit="1" customWidth="1"/>
    <col min="3" max="3" width="9.77734375" style="1" bestFit="1" customWidth="1"/>
    <col min="4" max="4" width="11" style="23" customWidth="1"/>
    <col min="5" max="5" width="9.109375" style="1" bestFit="1" customWidth="1"/>
    <col min="6" max="6" width="10.33203125" style="23" bestFit="1" customWidth="1"/>
    <col min="7" max="9" width="12.77734375" style="1" bestFit="1" customWidth="1"/>
    <col min="10" max="12" width="13" style="1" bestFit="1" customWidth="1"/>
    <col min="13" max="15" width="14.109375" style="1" bestFit="1" customWidth="1"/>
    <col min="16" max="18" width="14.33203125" style="1" bestFit="1" customWidth="1"/>
    <col min="19" max="20" width="18.7773437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6">
        <v>45162</v>
      </c>
    </row>
  </sheetData>
  <conditionalFormatting sqref="A1:A1048576">
    <cfRule type="duplicateValues" dxfId="31" priority="2"/>
  </conditionalFormatting>
  <conditionalFormatting sqref="B1:B1048576">
    <cfRule type="duplicateValues" dxfId="3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sheetPr>
    <tabColor rgb="FFFF0000"/>
  </sheetPr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33203125" style="1" bestFit="1" customWidth="1"/>
    <col min="2" max="2" width="65.77734375" style="1" bestFit="1" customWidth="1"/>
    <col min="3" max="3" width="32.441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43" t="s">
        <v>107</v>
      </c>
      <c r="C3" s="2" t="s">
        <v>45</v>
      </c>
      <c r="E3" s="1">
        <v>5</v>
      </c>
    </row>
    <row r="4" spans="1:5" x14ac:dyDescent="0.3">
      <c r="A4" s="6">
        <v>2</v>
      </c>
      <c r="B4" s="43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44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CEF76-3669-4B8C-BB03-E54B5C2D1935}">
  <sheetPr>
    <tabColor theme="9" tint="-0.249977111117893"/>
  </sheetPr>
  <dimension ref="A1:X41"/>
  <sheetViews>
    <sheetView zoomScale="115" zoomScaleNormal="115" workbookViewId="0">
      <pane ySplit="1" topLeftCell="A19" activePane="bottomLeft" state="frozen"/>
      <selection pane="bottomLeft" activeCell="G44" sqref="G44"/>
    </sheetView>
  </sheetViews>
  <sheetFormatPr defaultColWidth="9" defaultRowHeight="14.4" x14ac:dyDescent="0.3"/>
  <cols>
    <col min="1" max="1" width="25.33203125" style="1" bestFit="1" customWidth="1"/>
    <col min="2" max="2" width="7.33203125" style="1" bestFit="1" customWidth="1"/>
    <col min="3" max="3" width="9.77734375" style="1" bestFit="1" customWidth="1"/>
    <col min="4" max="4" width="11" style="23" customWidth="1"/>
    <col min="5" max="5" width="9.109375" style="1" bestFit="1" customWidth="1"/>
    <col min="6" max="6" width="10.33203125" style="23" bestFit="1" customWidth="1"/>
    <col min="7" max="7" width="32.33203125" style="1" bestFit="1" customWidth="1"/>
    <col min="8" max="9" width="12.77734375" style="1" bestFit="1" customWidth="1"/>
    <col min="10" max="12" width="13" style="1" bestFit="1" customWidth="1"/>
    <col min="13" max="15" width="14.109375" style="1" bestFit="1" customWidth="1"/>
    <col min="16" max="18" width="14.33203125" style="1" bestFit="1" customWidth="1"/>
    <col min="19" max="20" width="18.77734375" style="1" bestFit="1" customWidth="1"/>
    <col min="21" max="23" width="19" style="1" bestFit="1" customWidth="1"/>
    <col min="24" max="24" width="13.109375" style="1" bestFit="1" customWidth="1"/>
    <col min="25" max="16384" width="9" style="1"/>
  </cols>
  <sheetData>
    <row r="1" spans="1:24" s="3" customFormat="1" ht="14.85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3">
      <c r="G41" s="1" t="s">
        <v>178</v>
      </c>
      <c r="H41" s="1">
        <f>SUMIF(H2:H40, "&gt;=20", H2:H40)</f>
        <v>1473.0000000000002</v>
      </c>
    </row>
  </sheetData>
  <conditionalFormatting sqref="A1:A1048576">
    <cfRule type="duplicateValues" dxfId="29" priority="5"/>
  </conditionalFormatting>
  <conditionalFormatting sqref="B1:B1048576">
    <cfRule type="duplicateValues" dxfId="28" priority="4"/>
  </conditionalFormatting>
  <conditionalFormatting sqref="G2:X40">
    <cfRule type="cellIs" dxfId="27" priority="1" operator="equal">
      <formula>0</formula>
    </cfRule>
    <cfRule type="cellIs" dxfId="26" priority="2" operator="lessThan">
      <formula>0</formula>
    </cfRule>
    <cfRule type="cellIs" priority="3" operator="between">
      <formula>0</formula>
      <formula>-1</formula>
    </cfRule>
  </conditionalFormatting>
  <pageMargins left="0.75" right="0.75" top="1" bottom="1" header="0.5" footer="0.5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sheetPr>
    <tabColor theme="9" tint="-0.249977111117893"/>
  </sheetPr>
  <dimension ref="A1:G30"/>
  <sheetViews>
    <sheetView zoomScaleNormal="100" workbookViewId="0">
      <selection activeCell="K34" sqref="K34"/>
    </sheetView>
  </sheetViews>
  <sheetFormatPr defaultColWidth="11" defaultRowHeight="13.8" x14ac:dyDescent="0.3"/>
  <cols>
    <col min="1" max="1" width="20.7773437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2">
        <f>VLOOKUP(A6,Dataset!A2:X40,7,0)</f>
        <v>2.7</v>
      </c>
      <c r="C6" s="12">
        <f>VLOOKUP(A6,Dataset!A2:X40,14,0)</f>
        <v>7.6</v>
      </c>
      <c r="D6" s="12">
        <f>VLOOKUP(A6,Dataset!A2:X40,18,0)</f>
        <v>4.2</v>
      </c>
      <c r="E6" s="12">
        <f>VLOOKUP(A6,Dataset!A2:X40,20,0)</f>
        <v>8.9</v>
      </c>
      <c r="F6" s="8">
        <f>VLOOKUP(A6,Dataset!A2:X40,22,0)</f>
        <v>4.2</v>
      </c>
    </row>
    <row r="7" spans="1:7" ht="14.4" x14ac:dyDescent="0.3">
      <c r="A7" s="7" t="s">
        <v>4</v>
      </c>
      <c r="B7" s="12">
        <f>VLOOKUP(A7,Dataset!A3:X41,7,0)</f>
        <v>2.7</v>
      </c>
      <c r="C7" s="12">
        <f>VLOOKUP(A7,Dataset!A3:X41,14,0)</f>
        <v>7.6</v>
      </c>
      <c r="D7" s="12">
        <f>VLOOKUP(A7,Dataset!A3:X41,18,0)</f>
        <v>4.2</v>
      </c>
      <c r="E7" s="12">
        <f>VLOOKUP(A7,Dataset!A3:X41,20,0)</f>
        <v>8.9</v>
      </c>
      <c r="F7" s="8">
        <f>VLOOKUP(A7,Dataset!A3:X41,22,0)</f>
        <v>4.2</v>
      </c>
    </row>
    <row r="8" spans="1:7" ht="14.4" x14ac:dyDescent="0.3">
      <c r="A8" s="7" t="s">
        <v>7</v>
      </c>
      <c r="B8" s="12">
        <f>VLOOKUP(A8,Dataset!A4:X42,7,0)</f>
        <v>3.6</v>
      </c>
      <c r="C8" s="12">
        <f>VLOOKUP(A8,Dataset!A4:X42,14,0)</f>
        <v>11.1</v>
      </c>
      <c r="D8" s="12">
        <f>VLOOKUP(A8,Dataset!A4:X42,18,0)</f>
        <v>5.8</v>
      </c>
      <c r="E8" s="12">
        <f>VLOOKUP(A8,Dataset!A4:X42,20,0)</f>
        <v>12.2</v>
      </c>
      <c r="F8" s="8">
        <f>VLOOKUP(A8,Dataset!A4:X42,22,0)</f>
        <v>5.8</v>
      </c>
    </row>
    <row r="9" spans="1:7" ht="14.4" x14ac:dyDescent="0.3">
      <c r="A9" s="7" t="s">
        <v>8</v>
      </c>
      <c r="B9" s="12">
        <f>VLOOKUP(A9,Dataset!A5:X43,7,0)</f>
        <v>4.9000000000000004</v>
      </c>
      <c r="C9" s="12">
        <f>VLOOKUP(A9,Dataset!A5:X43,14,0)</f>
        <v>13.3</v>
      </c>
      <c r="D9" s="12">
        <f>VLOOKUP(A9,Dataset!A5:X43,18,0)</f>
        <v>8.1</v>
      </c>
      <c r="E9" s="12">
        <f>VLOOKUP(A9,Dataset!A5:X43,20,0)</f>
        <v>17</v>
      </c>
      <c r="F9" s="8">
        <f>VLOOKUP(A9,Dataset!A5:X43,22,0)</f>
        <v>8.1</v>
      </c>
    </row>
    <row r="10" spans="1:7" ht="14.4" x14ac:dyDescent="0.3">
      <c r="A10" s="7" t="s">
        <v>11</v>
      </c>
      <c r="B10" s="12">
        <f>VLOOKUP(A10,Dataset!A6:X44,7,0)</f>
        <v>9.4</v>
      </c>
      <c r="C10" s="12">
        <f>VLOOKUP(A10,Dataset!A6:X44,14,0)</f>
        <v>28.3</v>
      </c>
      <c r="D10" s="12">
        <f>VLOOKUP(A10,Dataset!A6:X44,18,0)</f>
        <v>16.100000000000001</v>
      </c>
      <c r="E10" s="12">
        <f>VLOOKUP(A10,Dataset!A6:X44,20,0)</f>
        <v>32.799999999999997</v>
      </c>
      <c r="F10" s="8">
        <f>VLOOKUP(A10,Dataset!A6:X44,22,0)</f>
        <v>16.100000000000001</v>
      </c>
    </row>
    <row r="11" spans="1:7" ht="14.4" x14ac:dyDescent="0.3">
      <c r="A11" s="7" t="s">
        <v>12</v>
      </c>
      <c r="B11" s="12">
        <f>VLOOKUP(A11,Dataset!A7:X45,7,0)</f>
        <v>11.6</v>
      </c>
      <c r="C11" s="12">
        <f>VLOOKUP(A11,Dataset!A7:X45,14,0)</f>
        <v>35.200000000000003</v>
      </c>
      <c r="D11" s="12">
        <f>VLOOKUP(A11,Dataset!A7:X45,18,0)</f>
        <v>21.3</v>
      </c>
      <c r="E11" s="12">
        <f>VLOOKUP(A11,Dataset!A7:X45,20,0)</f>
        <v>43</v>
      </c>
      <c r="F11" s="8">
        <f>VLOOKUP(A11,Dataset!A7:X45,22,0)</f>
        <v>21.3</v>
      </c>
    </row>
    <row r="12" spans="1:7" ht="14.4" x14ac:dyDescent="0.3">
      <c r="A12" s="7" t="s">
        <v>14</v>
      </c>
      <c r="B12" s="12">
        <f>VLOOKUP(A12,Dataset!A8:X46,7,0)</f>
        <v>18.399999999999999</v>
      </c>
      <c r="C12" s="12">
        <f>VLOOKUP(A12,Dataset!A8:X46,14,0)</f>
        <v>55.6</v>
      </c>
      <c r="D12" s="12">
        <f>VLOOKUP(A12,Dataset!A8:X46,18,0)</f>
        <v>33.799999999999997</v>
      </c>
      <c r="E12" s="12">
        <f>VLOOKUP(A12,Dataset!A8:X46,20,0)</f>
        <v>67.900000000000006</v>
      </c>
      <c r="F12" s="8">
        <f>VLOOKUP(A12,Dataset!A8:X46,22,0)</f>
        <v>33.799999999999997</v>
      </c>
    </row>
    <row r="13" spans="1:7" ht="14.4" x14ac:dyDescent="0.3">
      <c r="A13" s="7" t="s">
        <v>15</v>
      </c>
      <c r="B13" s="12">
        <f>VLOOKUP(A13,Dataset!A9:X47,7,0)</f>
        <v>0</v>
      </c>
      <c r="C13" s="12">
        <f>VLOOKUP(A13,Dataset!A9:X47,14,0)</f>
        <v>0</v>
      </c>
      <c r="D13" s="12">
        <f>VLOOKUP(A13,Dataset!A9:X47,18,0)</f>
        <v>0</v>
      </c>
      <c r="E13" s="12">
        <f>VLOOKUP(A13,Dataset!A9:X47,20,0)</f>
        <v>0</v>
      </c>
      <c r="F13" s="8">
        <f>VLOOKUP(A13,Dataset!A9:X47,22,0)</f>
        <v>0</v>
      </c>
    </row>
    <row r="14" spans="1:7" ht="14.4" x14ac:dyDescent="0.3">
      <c r="A14" s="7" t="s">
        <v>16</v>
      </c>
      <c r="B14" s="12">
        <f>VLOOKUP(A14,Dataset!A10:X48,7,0)</f>
        <v>21.9</v>
      </c>
      <c r="C14" s="12">
        <f>VLOOKUP(A14,Dataset!A10:X48,14,0)</f>
        <v>61.5</v>
      </c>
      <c r="D14" s="12">
        <f>VLOOKUP(A14,Dataset!A10:X48,18,0)</f>
        <v>40.1</v>
      </c>
      <c r="E14" s="12">
        <f>VLOOKUP(A14,Dataset!A10:X48,20,0)</f>
        <v>76.599999999999994</v>
      </c>
      <c r="F14" s="8">
        <f>VLOOKUP(A14,Dataset!A10:X48,22,0)</f>
        <v>40.1</v>
      </c>
    </row>
    <row r="15" spans="1:7" ht="14.4" x14ac:dyDescent="0.3">
      <c r="A15" s="7" t="s">
        <v>18</v>
      </c>
      <c r="B15" s="12">
        <f>VLOOKUP(A15,Dataset!A11:X49,7,0)</f>
        <v>26.8</v>
      </c>
      <c r="C15" s="12">
        <f>VLOOKUP(A15,Dataset!A11:X49,14,0)</f>
        <v>79.599999999999994</v>
      </c>
      <c r="D15" s="12">
        <f>VLOOKUP(A15,Dataset!A11:X49,18,0)</f>
        <v>47.9</v>
      </c>
      <c r="E15" s="12">
        <f>VLOOKUP(A15,Dataset!A11:X49,20,0)</f>
        <v>96.8</v>
      </c>
      <c r="F15" s="8">
        <f>VLOOKUP(A15,Dataset!A11:X49,22,0)</f>
        <v>47.9</v>
      </c>
    </row>
    <row r="16" spans="1:7" ht="14.4" x14ac:dyDescent="0.3">
      <c r="A16" s="7" t="s">
        <v>20</v>
      </c>
      <c r="B16" s="12">
        <f>VLOOKUP(A16,Dataset!A12:X50,7,0)</f>
        <v>28.5</v>
      </c>
      <c r="C16" s="12">
        <f>VLOOKUP(A16,Dataset!A12:X50,14,0)</f>
        <v>85.4</v>
      </c>
      <c r="D16" s="12">
        <f>VLOOKUP(A16,Dataset!A12:X50,18,0)</f>
        <v>52.3</v>
      </c>
      <c r="E16" s="12">
        <f>VLOOKUP(A16,Dataset!A12:X50,20,0)</f>
        <v>106.1</v>
      </c>
      <c r="F16" s="8">
        <f>VLOOKUP(A16,Dataset!A12:X50,22,0)</f>
        <v>52.3</v>
      </c>
    </row>
    <row r="17" spans="1:6" ht="14.4" x14ac:dyDescent="0.3">
      <c r="A17" s="7" t="s">
        <v>22</v>
      </c>
      <c r="B17" s="12">
        <f>VLOOKUP(A17,Dataset!A13:X51,7,0)</f>
        <v>30.7</v>
      </c>
      <c r="C17" s="12">
        <f>VLOOKUP(A17,Dataset!A13:X51,14,0)</f>
        <v>92.1</v>
      </c>
      <c r="D17" s="12">
        <f>VLOOKUP(A17,Dataset!A13:X51,18,0)</f>
        <v>57</v>
      </c>
      <c r="E17" s="12">
        <f>VLOOKUP(A17,Dataset!A13:X51,20,0)</f>
        <v>115.1</v>
      </c>
      <c r="F17" s="8">
        <f>VLOOKUP(A17,Dataset!A13:X51,22,0)</f>
        <v>57</v>
      </c>
    </row>
    <row r="18" spans="1:6" ht="14.4" x14ac:dyDescent="0.3">
      <c r="A18" s="7" t="s">
        <v>23</v>
      </c>
      <c r="B18" s="12">
        <f>VLOOKUP(A18,Dataset!A14:X52,7,0)</f>
        <v>33.799999999999997</v>
      </c>
      <c r="C18" s="12">
        <f>VLOOKUP(A18,Dataset!A14:X52,14,0)</f>
        <v>101.3</v>
      </c>
      <c r="D18" s="12">
        <f>VLOOKUP(A18,Dataset!A14:X52,18,0)</f>
        <v>61.4</v>
      </c>
      <c r="E18" s="12">
        <f>VLOOKUP(A18,Dataset!A14:X52,20,0)</f>
        <v>124.4</v>
      </c>
      <c r="F18" s="8">
        <f>VLOOKUP(A18,Dataset!A14:X52,22,0)</f>
        <v>61.4</v>
      </c>
    </row>
    <row r="19" spans="1:6" ht="14.4" x14ac:dyDescent="0.3">
      <c r="A19" s="7" t="s">
        <v>24</v>
      </c>
      <c r="B19" s="12">
        <f>VLOOKUP(A19,Dataset!A15:X53,7,0)</f>
        <v>34.700000000000003</v>
      </c>
      <c r="C19" s="12">
        <f>VLOOKUP(A19,Dataset!A15:X53,14,0)</f>
        <v>106.1</v>
      </c>
      <c r="D19" s="12">
        <f>VLOOKUP(A19,Dataset!A15:X53,18,0)</f>
        <v>63.6</v>
      </c>
      <c r="E19" s="12">
        <f>VLOOKUP(A19,Dataset!A15:X53,20,0)</f>
        <v>128.6</v>
      </c>
      <c r="F19" s="8">
        <f>VLOOKUP(A19,Dataset!A15:X53,22,0)</f>
        <v>63.6</v>
      </c>
    </row>
    <row r="20" spans="1:6" ht="14.4" x14ac:dyDescent="0.3">
      <c r="A20" s="7" t="s">
        <v>28</v>
      </c>
      <c r="B20" s="12">
        <f>VLOOKUP(A20,Dataset!A16:X54,7,0)</f>
        <v>0</v>
      </c>
      <c r="C20" s="12">
        <f>VLOOKUP(A20,Dataset!A16:X54,14,0)</f>
        <v>0</v>
      </c>
      <c r="D20" s="12">
        <f>VLOOKUP(A20,Dataset!A16:X54,18,0)</f>
        <v>0</v>
      </c>
      <c r="E20" s="12">
        <f>VLOOKUP(A20,Dataset!A16:X54,20,0)</f>
        <v>0</v>
      </c>
      <c r="F20" s="8">
        <f>VLOOKUP(A20,Dataset!A16:X54,22,0)</f>
        <v>0</v>
      </c>
    </row>
    <row r="21" spans="1:6" ht="14.4" x14ac:dyDescent="0.3">
      <c r="A21" s="7" t="s">
        <v>57</v>
      </c>
      <c r="B21" s="12">
        <f>VLOOKUP(A21,Dataset!A17:X55,7,0)</f>
        <v>41.3</v>
      </c>
      <c r="C21" s="12">
        <f>VLOOKUP(A21,Dataset!A17:X55,14,0)</f>
        <v>124.4</v>
      </c>
      <c r="D21" s="12">
        <f>VLOOKUP(A21,Dataset!A17:X55,18,0)</f>
        <v>75</v>
      </c>
      <c r="E21" s="12">
        <f>VLOOKUP(A21,Dataset!A17:X55,20,0)</f>
        <v>151.5</v>
      </c>
      <c r="F21" s="8">
        <f>VLOOKUP(A21,Dataset!A17:X55,22,0)</f>
        <v>75</v>
      </c>
    </row>
    <row r="22" spans="1:6" ht="14.4" x14ac:dyDescent="0.3">
      <c r="A22" s="7" t="s">
        <v>58</v>
      </c>
      <c r="B22" s="12">
        <f>VLOOKUP(A22,Dataset!A18:X56,7,0)</f>
        <v>-1</v>
      </c>
      <c r="C22" s="12">
        <f>VLOOKUP(A22,Dataset!A18:X56,14,0)</f>
        <v>-1</v>
      </c>
      <c r="D22" s="12">
        <f>VLOOKUP(A22,Dataset!A18:X56,18,0)</f>
        <v>-1</v>
      </c>
      <c r="E22" s="12">
        <f>VLOOKUP(A22,Dataset!A18:X56,20,0)</f>
        <v>-1</v>
      </c>
      <c r="F22" s="8">
        <f>VLOOKUP(A22,Dataset!A18:X56,22,0)</f>
        <v>-1</v>
      </c>
    </row>
    <row r="23" spans="1:6" ht="14.4" x14ac:dyDescent="0.3">
      <c r="A23" s="7" t="s">
        <v>31</v>
      </c>
      <c r="B23" s="12">
        <f>VLOOKUP(A23,Dataset!A19:X57,7,0)</f>
        <v>45</v>
      </c>
      <c r="C23" s="12">
        <f>VLOOKUP(A23,Dataset!A19:X57,14,0)</f>
        <v>133.4</v>
      </c>
      <c r="D23" s="12">
        <f>VLOOKUP(A23,Dataset!A19:X57,18,0)</f>
        <v>79.400000000000006</v>
      </c>
      <c r="E23" s="12">
        <f>VLOOKUP(A23,Dataset!A19:X57,20,0)</f>
        <v>160.9</v>
      </c>
      <c r="F23" s="8">
        <f>VLOOKUP(A23,Dataset!A19:X57,22,0)</f>
        <v>79.400000000000006</v>
      </c>
    </row>
    <row r="24" spans="1:6" ht="14.4" x14ac:dyDescent="0.3">
      <c r="A24" s="7" t="s">
        <v>32</v>
      </c>
      <c r="B24" s="12">
        <f>VLOOKUP(A24,Dataset!A20:X58,7,0)</f>
        <v>-1</v>
      </c>
      <c r="C24" s="12">
        <f>VLOOKUP(A24,Dataset!A20:X58,14,0)</f>
        <v>-1</v>
      </c>
      <c r="D24" s="12">
        <f>VLOOKUP(A24,Dataset!A20:X58,18,0)</f>
        <v>-1</v>
      </c>
      <c r="E24" s="12">
        <f>VLOOKUP(A24,Dataset!A20:X58,20,0)</f>
        <v>-1</v>
      </c>
      <c r="F24" s="8">
        <f>VLOOKUP(A24,Dataset!A20:X58,22,0)</f>
        <v>-1</v>
      </c>
    </row>
    <row r="25" spans="1:6" ht="14.4" x14ac:dyDescent="0.3">
      <c r="A25" s="7" t="s">
        <v>34</v>
      </c>
      <c r="B25" s="12">
        <f>VLOOKUP(A25,Dataset!A21:X59,7,0)</f>
        <v>43.3</v>
      </c>
      <c r="C25" s="12">
        <f>VLOOKUP(A25,Dataset!A21:X59,14,0)</f>
        <v>128.6</v>
      </c>
      <c r="D25" s="12">
        <f>VLOOKUP(A25,Dataset!A21:X59,18,0)</f>
        <v>79.400000000000006</v>
      </c>
      <c r="E25" s="12">
        <f>VLOOKUP(A25,Dataset!A21:X59,20,0)</f>
        <v>160.9</v>
      </c>
      <c r="F25" s="8">
        <f>VLOOKUP(A25,Dataset!A21:X59,22,0)</f>
        <v>79.400000000000006</v>
      </c>
    </row>
    <row r="26" spans="1:6" ht="14.4" x14ac:dyDescent="0.3">
      <c r="A26" s="7" t="s">
        <v>37</v>
      </c>
      <c r="B26" s="12">
        <f>VLOOKUP(A26,Dataset!A22:X60,7,0)</f>
        <v>49.1</v>
      </c>
      <c r="C26" s="12">
        <f>VLOOKUP(A26,Dataset!A22:X60,14,0)</f>
        <v>146.80000000000001</v>
      </c>
      <c r="D26" s="12">
        <f>VLOOKUP(A26,Dataset!A22:X60,18,0)</f>
        <v>90.9</v>
      </c>
      <c r="E26" s="12">
        <f>VLOOKUP(A26,Dataset!A22:X60,20,0)</f>
        <v>183.5</v>
      </c>
      <c r="F26" s="8">
        <f>VLOOKUP(A26,Dataset!A22:X60,22,0)</f>
        <v>90.9</v>
      </c>
    </row>
    <row r="27" spans="1:6" ht="14.4" x14ac:dyDescent="0.3">
      <c r="A27" s="7" t="s">
        <v>39</v>
      </c>
      <c r="B27" s="12">
        <f>VLOOKUP(A27,Dataset!A23:X61,7,0)</f>
        <v>51.8</v>
      </c>
      <c r="C27" s="12">
        <f>VLOOKUP(A27,Dataset!A23:X61,14,0)</f>
        <v>156.4</v>
      </c>
      <c r="D27" s="12">
        <f>VLOOKUP(A27,Dataset!A23:X61,18,0)</f>
        <v>93.1</v>
      </c>
      <c r="E27" s="12">
        <f>VLOOKUP(A27,Dataset!A23:X61,20,0)</f>
        <v>188.1</v>
      </c>
      <c r="F27" s="8">
        <f>VLOOKUP(A27,Dataset!A23:X61,22,0)</f>
        <v>93.1</v>
      </c>
    </row>
    <row r="28" spans="1:6" ht="14.4" x14ac:dyDescent="0.3">
      <c r="A28" s="18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8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8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sheetPr>
    <tabColor theme="9" tint="-0.249977111117893"/>
  </sheetPr>
  <dimension ref="A1:J54"/>
  <sheetViews>
    <sheetView zoomScaleNormal="100" workbookViewId="0">
      <selection activeCell="B16" sqref="B16:B54"/>
    </sheetView>
  </sheetViews>
  <sheetFormatPr defaultColWidth="11" defaultRowHeight="14.4" x14ac:dyDescent="0.3"/>
  <cols>
    <col min="1" max="1" width="39.77734375" style="1" bestFit="1" customWidth="1"/>
    <col min="2" max="2" width="190.44140625" style="1" bestFit="1" customWidth="1"/>
    <col min="3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53</v>
      </c>
      <c r="B5" s="39"/>
    </row>
    <row r="6" spans="1:10" ht="18" x14ac:dyDescent="0.35">
      <c r="A6" s="42" t="s">
        <v>153</v>
      </c>
      <c r="B6" s="39"/>
    </row>
    <row r="7" spans="1:10" ht="18" x14ac:dyDescent="0.35">
      <c r="A7" s="42"/>
      <c r="B7" s="39"/>
    </row>
    <row r="9" spans="1:10" ht="23.4" x14ac:dyDescent="0.45">
      <c r="A9" s="17" t="s">
        <v>165</v>
      </c>
      <c r="I9" s="2"/>
      <c r="J9" s="2"/>
    </row>
    <row r="10" spans="1:10" x14ac:dyDescent="0.3">
      <c r="A10" s="33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4" t="s">
        <v>103</v>
      </c>
      <c r="B15" s="16" t="s">
        <v>49</v>
      </c>
      <c r="C15" s="15" t="s">
        <v>50</v>
      </c>
      <c r="D15" s="16" t="s">
        <v>51</v>
      </c>
      <c r="E15" s="15" t="s">
        <v>52</v>
      </c>
      <c r="F15" s="16" t="s">
        <v>54</v>
      </c>
    </row>
    <row r="16" spans="1:10" x14ac:dyDescent="0.3">
      <c r="A16" s="46" t="s">
        <v>121</v>
      </c>
      <c r="B16" s="46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46" t="s">
        <v>122</v>
      </c>
      <c r="B17" s="46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46" t="s">
        <v>123</v>
      </c>
      <c r="B18" s="46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46" t="s">
        <v>124</v>
      </c>
      <c r="B19" s="46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46" t="s">
        <v>125</v>
      </c>
      <c r="B20" s="46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46" t="s">
        <v>126</v>
      </c>
      <c r="B21" s="46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46" t="s">
        <v>127</v>
      </c>
      <c r="B22" s="46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46" t="s">
        <v>128</v>
      </c>
      <c r="B23" s="46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46" t="s">
        <v>129</v>
      </c>
      <c r="B24" s="46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46" t="s">
        <v>130</v>
      </c>
      <c r="B25" s="46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46" t="s">
        <v>131</v>
      </c>
      <c r="B26" s="46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46" t="s">
        <v>132</v>
      </c>
      <c r="B27" s="46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46" t="s">
        <v>133</v>
      </c>
      <c r="B28" s="46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46" t="s">
        <v>134</v>
      </c>
      <c r="B29" s="46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46" t="s">
        <v>135</v>
      </c>
      <c r="B30" s="46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46" t="s">
        <v>136</v>
      </c>
      <c r="B31" s="46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46" t="s">
        <v>137</v>
      </c>
      <c r="B32" s="46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46" t="s">
        <v>138</v>
      </c>
      <c r="B33" s="46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46" t="s">
        <v>139</v>
      </c>
      <c r="B34" s="46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46" t="s">
        <v>140</v>
      </c>
      <c r="B35" s="46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46" t="s">
        <v>141</v>
      </c>
      <c r="B36" s="46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46" t="s">
        <v>142</v>
      </c>
      <c r="B37" s="46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46" t="s">
        <v>143</v>
      </c>
      <c r="B38" s="46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46" t="s">
        <v>144</v>
      </c>
      <c r="B39" s="46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46" t="s">
        <v>145</v>
      </c>
      <c r="B40" s="46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46" t="s">
        <v>146</v>
      </c>
      <c r="B41" s="46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46" t="s">
        <v>147</v>
      </c>
      <c r="B42" s="46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46" t="s">
        <v>148</v>
      </c>
      <c r="B43" s="46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46" t="s">
        <v>149</v>
      </c>
      <c r="B44" s="46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46" t="s">
        <v>150</v>
      </c>
      <c r="B45" s="46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46" t="s">
        <v>112</v>
      </c>
      <c r="B46" s="46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46" t="s">
        <v>113</v>
      </c>
      <c r="B47" s="46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46" t="s">
        <v>114</v>
      </c>
      <c r="B48" s="46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46" t="s">
        <v>115</v>
      </c>
      <c r="B49" s="46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46" t="s">
        <v>116</v>
      </c>
      <c r="B50" s="46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46" t="s">
        <v>117</v>
      </c>
      <c r="B51" s="46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46" t="s">
        <v>118</v>
      </c>
      <c r="B52" s="46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46" t="s">
        <v>119</v>
      </c>
      <c r="B53" s="46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47" t="s">
        <v>120</v>
      </c>
      <c r="B54" s="47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sheetPr>
    <tabColor theme="9" tint="-0.249977111117893"/>
  </sheetPr>
  <dimension ref="A1:C22"/>
  <sheetViews>
    <sheetView zoomScaleNormal="100" workbookViewId="0">
      <selection activeCell="J35" sqref="J35"/>
    </sheetView>
  </sheetViews>
  <sheetFormatPr defaultColWidth="11" defaultRowHeight="13.8" x14ac:dyDescent="0.3"/>
  <cols>
    <col min="1" max="1" width="28.109375" style="2" bestFit="1" customWidth="1"/>
    <col min="2" max="2" width="17.77734375" style="2" bestFit="1" customWidth="1"/>
    <col min="3" max="3" width="11" style="2" bestFit="1" customWidth="1"/>
    <col min="4" max="4" width="13.109375" style="2" bestFit="1" customWidth="1"/>
    <col min="5" max="5" width="10.77734375" style="2" bestFit="1" customWidth="1"/>
    <col min="6" max="6" width="13.33203125" style="2" bestFit="1" customWidth="1"/>
    <col min="7" max="8" width="14.664062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0937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167</v>
      </c>
    </row>
    <row r="2" spans="1:3" ht="18" x14ac:dyDescent="0.35">
      <c r="B2" s="39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153</v>
      </c>
      <c r="B7" s="1"/>
    </row>
    <row r="10" spans="1:3" ht="23.4" x14ac:dyDescent="0.45">
      <c r="A10" s="17" t="s">
        <v>162</v>
      </c>
    </row>
    <row r="11" spans="1:3" ht="14.4" x14ac:dyDescent="0.3">
      <c r="A11" s="32" t="s">
        <v>86</v>
      </c>
      <c r="B11" s="16" t="s">
        <v>87</v>
      </c>
      <c r="C11" s="16" t="s">
        <v>88</v>
      </c>
    </row>
    <row r="12" spans="1:3" ht="14.4" x14ac:dyDescent="0.3">
      <c r="A12" s="32">
        <v>44927</v>
      </c>
      <c r="B12" s="16" t="s">
        <v>59</v>
      </c>
      <c r="C12" s="16">
        <v>200</v>
      </c>
    </row>
    <row r="13" spans="1:3" ht="14.4" x14ac:dyDescent="0.3">
      <c r="A13" s="32">
        <v>44928</v>
      </c>
      <c r="B13" s="16" t="s">
        <v>60</v>
      </c>
      <c r="C13" s="16" t="e">
        <v>#N/A</v>
      </c>
    </row>
    <row r="14" spans="1:3" ht="14.4" x14ac:dyDescent="0.3">
      <c r="A14" s="32">
        <v>44929</v>
      </c>
      <c r="B14" s="16" t="s">
        <v>61</v>
      </c>
      <c r="C14" s="16">
        <v>50</v>
      </c>
    </row>
    <row r="15" spans="1:3" ht="14.4" x14ac:dyDescent="0.3">
      <c r="A15" s="32">
        <v>44930</v>
      </c>
      <c r="B15" s="16" t="s">
        <v>62</v>
      </c>
      <c r="C15" s="16" t="e">
        <v>#N/A</v>
      </c>
    </row>
    <row r="16" spans="1:3" ht="14.4" x14ac:dyDescent="0.3">
      <c r="A16" s="32">
        <v>44931</v>
      </c>
      <c r="B16" s="16" t="s">
        <v>63</v>
      </c>
      <c r="C16" s="16">
        <v>10</v>
      </c>
    </row>
    <row r="17" spans="1:3" ht="14.4" x14ac:dyDescent="0.3">
      <c r="A17" s="32">
        <v>44932</v>
      </c>
      <c r="B17" s="16" t="s">
        <v>154</v>
      </c>
      <c r="C17" s="16">
        <v>150</v>
      </c>
    </row>
    <row r="18" spans="1:3" ht="14.4" x14ac:dyDescent="0.3">
      <c r="A18" s="32">
        <v>44933</v>
      </c>
      <c r="B18" s="16" t="s">
        <v>155</v>
      </c>
      <c r="C18" s="16">
        <v>80</v>
      </c>
    </row>
    <row r="19" spans="1:3" ht="14.4" x14ac:dyDescent="0.3">
      <c r="A19" s="32">
        <v>44934</v>
      </c>
      <c r="B19" s="16" t="s">
        <v>156</v>
      </c>
      <c r="C19" s="16" t="e">
        <v>#N/A</v>
      </c>
    </row>
    <row r="20" spans="1:3" ht="14.4" x14ac:dyDescent="0.3">
      <c r="A20" s="32">
        <v>44935</v>
      </c>
      <c r="B20" s="16" t="s">
        <v>157</v>
      </c>
      <c r="C20" s="16">
        <v>30</v>
      </c>
    </row>
    <row r="21" spans="1:3" ht="14.4" x14ac:dyDescent="0.3">
      <c r="A21" s="32">
        <v>44936</v>
      </c>
      <c r="B21" s="16" t="s">
        <v>158</v>
      </c>
      <c r="C21" s="16" t="e">
        <v>#N/A</v>
      </c>
    </row>
    <row r="22" spans="1:3" ht="14.4" x14ac:dyDescent="0.3">
      <c r="B22" s="16" t="s">
        <v>159</v>
      </c>
      <c r="C22" s="48" cm="1">
        <f t="array" ref="C22">SUM(IFERROR(C12:C21,20))</f>
        <v>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sheetPr>
    <tabColor rgb="FFFF0000"/>
  </sheetPr>
  <dimension ref="A1:N35"/>
  <sheetViews>
    <sheetView tabSelected="1" zoomScaleNormal="100" workbookViewId="0">
      <selection activeCell="L24" sqref="L24"/>
    </sheetView>
  </sheetViews>
  <sheetFormatPr defaultColWidth="11" defaultRowHeight="13.8" x14ac:dyDescent="0.3"/>
  <cols>
    <col min="1" max="1" width="28.109375" style="2" bestFit="1" customWidth="1"/>
    <col min="2" max="9" width="11.77734375" style="2" customWidth="1"/>
    <col min="10" max="10" width="13" style="2" customWidth="1"/>
    <col min="11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53</v>
      </c>
      <c r="B4" s="1"/>
    </row>
    <row r="5" spans="1:14" ht="18" x14ac:dyDescent="0.35">
      <c r="A5" s="42" t="s">
        <v>153</v>
      </c>
      <c r="B5" s="1"/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51" t="s">
        <v>179</v>
      </c>
      <c r="B9" s="52" t="s">
        <v>180</v>
      </c>
      <c r="C9" s="52" t="s">
        <v>181</v>
      </c>
      <c r="D9" s="52" t="s">
        <v>182</v>
      </c>
      <c r="E9" s="52" t="s">
        <v>183</v>
      </c>
      <c r="F9" s="52" t="s">
        <v>184</v>
      </c>
      <c r="G9" s="52" t="s">
        <v>185</v>
      </c>
      <c r="H9" s="52" t="s">
        <v>186</v>
      </c>
      <c r="I9" s="52" t="s">
        <v>187</v>
      </c>
      <c r="J9" s="53" t="s">
        <v>188</v>
      </c>
      <c r="M9" s="57" t="s">
        <v>43</v>
      </c>
      <c r="N9" s="58" t="s">
        <v>99</v>
      </c>
    </row>
    <row r="10" spans="1:14" ht="14.4" x14ac:dyDescent="0.3">
      <c r="A10" s="50"/>
      <c r="B10" s="25" t="s">
        <v>89</v>
      </c>
      <c r="C10" s="25" t="s">
        <v>90</v>
      </c>
      <c r="D10" s="25" t="s">
        <v>91</v>
      </c>
      <c r="E10" s="25" t="s">
        <v>92</v>
      </c>
      <c r="F10" s="25" t="s">
        <v>93</v>
      </c>
      <c r="G10" s="25" t="s">
        <v>94</v>
      </c>
      <c r="H10" s="25" t="s">
        <v>95</v>
      </c>
      <c r="I10" s="25" t="s">
        <v>96</v>
      </c>
      <c r="J10" s="35" t="s">
        <v>97</v>
      </c>
      <c r="M10" s="8">
        <v>10100</v>
      </c>
      <c r="N10" s="7" t="s">
        <v>89</v>
      </c>
    </row>
    <row r="11" spans="1:14" ht="14.4" x14ac:dyDescent="0.3">
      <c r="A11" s="50" t="s">
        <v>89</v>
      </c>
      <c r="B11" s="24">
        <v>-1</v>
      </c>
      <c r="C11" s="24">
        <v>95</v>
      </c>
      <c r="D11" s="24">
        <v>-1</v>
      </c>
      <c r="E11" s="24">
        <v>185</v>
      </c>
      <c r="F11" s="24">
        <v>255</v>
      </c>
      <c r="G11" s="24">
        <v>305</v>
      </c>
      <c r="H11" s="24">
        <v>415</v>
      </c>
      <c r="I11" s="24">
        <v>480</v>
      </c>
      <c r="J11" s="37">
        <v>525</v>
      </c>
      <c r="M11" s="8">
        <v>10102</v>
      </c>
      <c r="N11" s="7" t="s">
        <v>90</v>
      </c>
    </row>
    <row r="12" spans="1:14" ht="14.4" x14ac:dyDescent="0.3">
      <c r="A12" s="50" t="s">
        <v>90</v>
      </c>
      <c r="B12" s="24">
        <v>95</v>
      </c>
      <c r="C12" s="24">
        <v>-1</v>
      </c>
      <c r="D12" s="24">
        <v>-1</v>
      </c>
      <c r="E12" s="24">
        <v>90</v>
      </c>
      <c r="F12" s="24">
        <v>160</v>
      </c>
      <c r="G12" s="24">
        <v>210</v>
      </c>
      <c r="H12" s="24">
        <v>325</v>
      </c>
      <c r="I12" s="24">
        <v>390</v>
      </c>
      <c r="J12" s="37">
        <v>430</v>
      </c>
      <c r="M12" s="8">
        <v>10104</v>
      </c>
      <c r="N12" s="7" t="s">
        <v>91</v>
      </c>
    </row>
    <row r="13" spans="1:14" ht="14.4" x14ac:dyDescent="0.3">
      <c r="A13" s="50" t="s">
        <v>91</v>
      </c>
      <c r="B13" s="24">
        <v>-1</v>
      </c>
      <c r="C13" s="24">
        <v>-1</v>
      </c>
      <c r="D13" s="24">
        <v>-1</v>
      </c>
      <c r="E13" s="24">
        <v>60</v>
      </c>
      <c r="F13" s="24">
        <v>130</v>
      </c>
      <c r="G13" s="24">
        <v>180</v>
      </c>
      <c r="H13" s="24">
        <v>295</v>
      </c>
      <c r="I13" s="24">
        <v>355</v>
      </c>
      <c r="J13" s="37">
        <v>400</v>
      </c>
      <c r="M13" s="8">
        <v>10106</v>
      </c>
      <c r="N13" s="7" t="s">
        <v>92</v>
      </c>
    </row>
    <row r="14" spans="1:14" ht="14.4" x14ac:dyDescent="0.3">
      <c r="A14" s="50" t="s">
        <v>92</v>
      </c>
      <c r="B14" s="24">
        <v>185</v>
      </c>
      <c r="C14" s="24">
        <v>90</v>
      </c>
      <c r="D14" s="24">
        <v>60</v>
      </c>
      <c r="E14" s="24">
        <v>-1</v>
      </c>
      <c r="F14" s="24">
        <v>70</v>
      </c>
      <c r="G14" s="24">
        <v>120</v>
      </c>
      <c r="H14" s="24">
        <v>235</v>
      </c>
      <c r="I14" s="24">
        <v>300</v>
      </c>
      <c r="J14" s="37">
        <v>340</v>
      </c>
      <c r="M14" s="8">
        <v>10108</v>
      </c>
      <c r="N14" s="7" t="s">
        <v>93</v>
      </c>
    </row>
    <row r="15" spans="1:14" ht="14.4" x14ac:dyDescent="0.3">
      <c r="A15" s="50" t="s">
        <v>93</v>
      </c>
      <c r="B15" s="24">
        <v>255</v>
      </c>
      <c r="C15" s="24">
        <v>160</v>
      </c>
      <c r="D15" s="24">
        <v>130</v>
      </c>
      <c r="E15" s="24">
        <v>70</v>
      </c>
      <c r="F15" s="24">
        <v>-1</v>
      </c>
      <c r="G15" s="24">
        <v>50</v>
      </c>
      <c r="H15" s="24">
        <v>165</v>
      </c>
      <c r="I15" s="24">
        <v>230</v>
      </c>
      <c r="J15" s="37">
        <v>270</v>
      </c>
      <c r="M15" s="8">
        <v>10110</v>
      </c>
      <c r="N15" s="7" t="s">
        <v>94</v>
      </c>
    </row>
    <row r="16" spans="1:14" ht="14.4" x14ac:dyDescent="0.3">
      <c r="A16" s="50" t="s">
        <v>94</v>
      </c>
      <c r="B16" s="24">
        <v>305</v>
      </c>
      <c r="C16" s="24">
        <v>210</v>
      </c>
      <c r="D16" s="24">
        <v>180</v>
      </c>
      <c r="E16" s="24">
        <v>120</v>
      </c>
      <c r="F16" s="24">
        <v>50</v>
      </c>
      <c r="G16" s="24">
        <v>-1</v>
      </c>
      <c r="H16" s="24">
        <v>115</v>
      </c>
      <c r="I16" s="24">
        <v>180</v>
      </c>
      <c r="J16" s="37">
        <v>220</v>
      </c>
      <c r="M16" s="8">
        <v>10112</v>
      </c>
      <c r="N16" s="7" t="s">
        <v>95</v>
      </c>
    </row>
    <row r="17" spans="1:14" ht="14.4" x14ac:dyDescent="0.3">
      <c r="A17" s="50" t="s">
        <v>95</v>
      </c>
      <c r="B17" s="24">
        <v>415</v>
      </c>
      <c r="C17" s="24">
        <v>325</v>
      </c>
      <c r="D17" s="24">
        <v>295</v>
      </c>
      <c r="E17" s="24">
        <v>235</v>
      </c>
      <c r="F17" s="24">
        <v>165</v>
      </c>
      <c r="G17" s="24">
        <v>115</v>
      </c>
      <c r="H17" s="24">
        <v>-1</v>
      </c>
      <c r="I17" s="24">
        <v>65</v>
      </c>
      <c r="J17" s="37">
        <v>105</v>
      </c>
      <c r="M17" s="8">
        <v>10114</v>
      </c>
      <c r="N17" s="7" t="s">
        <v>96</v>
      </c>
    </row>
    <row r="18" spans="1:14" ht="14.4" x14ac:dyDescent="0.3">
      <c r="A18" s="50" t="s">
        <v>96</v>
      </c>
      <c r="B18" s="24">
        <v>480</v>
      </c>
      <c r="C18" s="24">
        <v>390</v>
      </c>
      <c r="D18" s="24">
        <v>355</v>
      </c>
      <c r="E18" s="24">
        <v>300</v>
      </c>
      <c r="F18" s="24">
        <v>230</v>
      </c>
      <c r="G18" s="24">
        <v>180</v>
      </c>
      <c r="H18" s="24">
        <v>65</v>
      </c>
      <c r="I18" s="24">
        <v>-1</v>
      </c>
      <c r="J18" s="37">
        <v>40</v>
      </c>
      <c r="M18" s="8">
        <v>10116</v>
      </c>
      <c r="N18" s="7" t="s">
        <v>97</v>
      </c>
    </row>
    <row r="19" spans="1:14" x14ac:dyDescent="0.3">
      <c r="A19" s="54" t="s">
        <v>97</v>
      </c>
      <c r="B19" s="55">
        <v>525</v>
      </c>
      <c r="C19" s="55">
        <v>430</v>
      </c>
      <c r="D19" s="55">
        <v>400</v>
      </c>
      <c r="E19" s="55">
        <v>340</v>
      </c>
      <c r="F19" s="55">
        <v>270</v>
      </c>
      <c r="G19" s="55">
        <v>220</v>
      </c>
      <c r="H19" s="55">
        <v>105</v>
      </c>
      <c r="I19" s="55">
        <v>40</v>
      </c>
      <c r="J19" s="56">
        <v>-1</v>
      </c>
    </row>
    <row r="21" spans="1:14" ht="23.4" x14ac:dyDescent="0.45">
      <c r="A21" s="17" t="s">
        <v>168</v>
      </c>
    </row>
    <row r="22" spans="1:14" ht="14.4" x14ac:dyDescent="0.3">
      <c r="A22" s="10" t="s">
        <v>100</v>
      </c>
      <c r="B22" s="13" t="s">
        <v>101</v>
      </c>
      <c r="C22" s="10" t="s">
        <v>102</v>
      </c>
    </row>
    <row r="23" spans="1:14" ht="14.4" x14ac:dyDescent="0.3">
      <c r="A23" s="1">
        <v>10100</v>
      </c>
      <c r="B23" s="12">
        <v>10102</v>
      </c>
      <c r="D23" s="49"/>
    </row>
    <row r="24" spans="1:14" ht="14.4" x14ac:dyDescent="0.3">
      <c r="A24" s="1">
        <v>10100</v>
      </c>
      <c r="B24" s="12">
        <v>10104</v>
      </c>
    </row>
    <row r="25" spans="1:14" ht="14.4" x14ac:dyDescent="0.3">
      <c r="A25" s="1">
        <v>10108</v>
      </c>
      <c r="B25" s="12">
        <v>10102</v>
      </c>
    </row>
    <row r="26" spans="1:14" ht="14.4" x14ac:dyDescent="0.3">
      <c r="A26" s="1">
        <v>10100</v>
      </c>
      <c r="B26" s="12">
        <v>10106</v>
      </c>
    </row>
    <row r="27" spans="1:14" ht="14.4" x14ac:dyDescent="0.3">
      <c r="A27" s="1">
        <v>10108</v>
      </c>
      <c r="B27" s="12">
        <v>10110</v>
      </c>
    </row>
    <row r="28" spans="1:14" ht="14.4" x14ac:dyDescent="0.3">
      <c r="A28" s="1">
        <v>10102</v>
      </c>
      <c r="B28" s="12">
        <v>10104</v>
      </c>
    </row>
    <row r="29" spans="1:14" ht="14.4" x14ac:dyDescent="0.3">
      <c r="A29" s="1">
        <v>10106</v>
      </c>
      <c r="B29" s="12">
        <v>10108</v>
      </c>
    </row>
    <row r="30" spans="1:14" ht="14.4" x14ac:dyDescent="0.3">
      <c r="A30" s="1">
        <v>10102</v>
      </c>
      <c r="B30" s="12">
        <v>10106</v>
      </c>
    </row>
    <row r="31" spans="1:14" ht="14.4" x14ac:dyDescent="0.3">
      <c r="A31" s="1">
        <v>10110</v>
      </c>
      <c r="B31" s="12">
        <v>10114</v>
      </c>
    </row>
    <row r="32" spans="1:14" ht="14.4" x14ac:dyDescent="0.3">
      <c r="A32" s="1">
        <v>10104</v>
      </c>
      <c r="B32" s="12">
        <v>10106</v>
      </c>
    </row>
    <row r="33" spans="1:2" ht="14.4" x14ac:dyDescent="0.3">
      <c r="A33" s="1">
        <v>10110</v>
      </c>
      <c r="B33" s="12">
        <v>10112</v>
      </c>
    </row>
    <row r="34" spans="1:2" ht="14.4" x14ac:dyDescent="0.3">
      <c r="A34" s="1">
        <v>10100</v>
      </c>
      <c r="B34" s="12">
        <v>10114</v>
      </c>
    </row>
    <row r="35" spans="1:2" ht="14.4" x14ac:dyDescent="0.3">
      <c r="A35" s="1">
        <v>10112</v>
      </c>
      <c r="B35" s="12">
        <v>10116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E308B-CD17-4CAB-AA88-A377859251CD}">
  <sheetPr>
    <tabColor theme="9" tint="-0.249977111117893"/>
  </sheetPr>
  <dimension ref="A1:J36"/>
  <sheetViews>
    <sheetView topLeftCell="A10" zoomScale="130" zoomScaleNormal="130" workbookViewId="0">
      <selection activeCell="J33" sqref="J33"/>
    </sheetView>
  </sheetViews>
  <sheetFormatPr defaultRowHeight="13.2" x14ac:dyDescent="0.25"/>
  <cols>
    <col min="1" max="1" width="11.44140625" customWidth="1"/>
    <col min="2" max="2" width="10.109375" customWidth="1"/>
  </cols>
  <sheetData>
    <row r="1" spans="1:10" ht="13.8" x14ac:dyDescent="0.3">
      <c r="A1" s="59"/>
      <c r="B1" s="59" t="s">
        <v>89</v>
      </c>
      <c r="C1" s="59" t="s">
        <v>90</v>
      </c>
      <c r="D1" s="59" t="s">
        <v>91</v>
      </c>
      <c r="E1" s="59" t="s">
        <v>92</v>
      </c>
      <c r="F1" s="59" t="s">
        <v>93</v>
      </c>
      <c r="G1" s="59" t="s">
        <v>94</v>
      </c>
      <c r="H1" s="59" t="s">
        <v>95</v>
      </c>
      <c r="I1" s="59" t="s">
        <v>96</v>
      </c>
      <c r="J1" s="59" t="s">
        <v>97</v>
      </c>
    </row>
    <row r="2" spans="1:10" ht="13.8" x14ac:dyDescent="0.3">
      <c r="A2" s="60" t="s">
        <v>89</v>
      </c>
      <c r="B2" s="61">
        <v>-1</v>
      </c>
      <c r="C2" s="61">
        <v>95</v>
      </c>
      <c r="D2" s="61">
        <v>-1</v>
      </c>
      <c r="E2" s="61">
        <v>185</v>
      </c>
      <c r="F2" s="61">
        <v>255</v>
      </c>
      <c r="G2" s="61">
        <v>305</v>
      </c>
      <c r="H2" s="61">
        <v>415</v>
      </c>
      <c r="I2" s="61">
        <v>480</v>
      </c>
      <c r="J2" s="61">
        <v>525</v>
      </c>
    </row>
    <row r="3" spans="1:10" ht="13.8" x14ac:dyDescent="0.3">
      <c r="A3" s="59" t="s">
        <v>90</v>
      </c>
      <c r="B3" s="62">
        <v>95</v>
      </c>
      <c r="C3" s="62">
        <v>-1</v>
      </c>
      <c r="D3" s="62">
        <v>-1</v>
      </c>
      <c r="E3" s="62">
        <v>90</v>
      </c>
      <c r="F3" s="62">
        <v>160</v>
      </c>
      <c r="G3" s="62">
        <v>210</v>
      </c>
      <c r="H3" s="62">
        <v>325</v>
      </c>
      <c r="I3" s="62">
        <v>390</v>
      </c>
      <c r="J3" s="62">
        <v>430</v>
      </c>
    </row>
    <row r="4" spans="1:10" ht="13.8" x14ac:dyDescent="0.3">
      <c r="A4" s="60" t="s">
        <v>91</v>
      </c>
      <c r="B4" s="61">
        <v>-1</v>
      </c>
      <c r="C4" s="61">
        <v>-1</v>
      </c>
      <c r="D4" s="61">
        <v>-1</v>
      </c>
      <c r="E4" s="61">
        <v>60</v>
      </c>
      <c r="F4" s="61">
        <v>130</v>
      </c>
      <c r="G4" s="61">
        <v>180</v>
      </c>
      <c r="H4" s="61">
        <v>295</v>
      </c>
      <c r="I4" s="61">
        <v>355</v>
      </c>
      <c r="J4" s="61">
        <v>400</v>
      </c>
    </row>
    <row r="5" spans="1:10" ht="13.8" x14ac:dyDescent="0.3">
      <c r="A5" s="59" t="s">
        <v>92</v>
      </c>
      <c r="B5" s="62">
        <v>185</v>
      </c>
      <c r="C5" s="62">
        <v>90</v>
      </c>
      <c r="D5" s="62">
        <v>60</v>
      </c>
      <c r="E5" s="62">
        <v>-1</v>
      </c>
      <c r="F5" s="62">
        <v>70</v>
      </c>
      <c r="G5" s="62">
        <v>120</v>
      </c>
      <c r="H5" s="62">
        <v>235</v>
      </c>
      <c r="I5" s="62">
        <v>300</v>
      </c>
      <c r="J5" s="62">
        <v>340</v>
      </c>
    </row>
    <row r="6" spans="1:10" ht="13.8" x14ac:dyDescent="0.3">
      <c r="A6" s="60" t="s">
        <v>93</v>
      </c>
      <c r="B6" s="61">
        <v>255</v>
      </c>
      <c r="C6" s="61">
        <v>160</v>
      </c>
      <c r="D6" s="61">
        <v>130</v>
      </c>
      <c r="E6" s="61">
        <v>70</v>
      </c>
      <c r="F6" s="61">
        <v>-1</v>
      </c>
      <c r="G6" s="61">
        <v>50</v>
      </c>
      <c r="H6" s="61">
        <v>165</v>
      </c>
      <c r="I6" s="61">
        <v>230</v>
      </c>
      <c r="J6" s="61">
        <v>270</v>
      </c>
    </row>
    <row r="7" spans="1:10" ht="13.8" x14ac:dyDescent="0.3">
      <c r="A7" s="59" t="s">
        <v>94</v>
      </c>
      <c r="B7" s="62">
        <v>305</v>
      </c>
      <c r="C7" s="62">
        <v>210</v>
      </c>
      <c r="D7" s="62">
        <v>180</v>
      </c>
      <c r="E7" s="62">
        <v>120</v>
      </c>
      <c r="F7" s="62">
        <v>50</v>
      </c>
      <c r="G7" s="62">
        <v>-1</v>
      </c>
      <c r="H7" s="62">
        <v>115</v>
      </c>
      <c r="I7" s="62">
        <v>180</v>
      </c>
      <c r="J7" s="62">
        <v>220</v>
      </c>
    </row>
    <row r="8" spans="1:10" ht="13.8" x14ac:dyDescent="0.3">
      <c r="A8" s="60" t="s">
        <v>95</v>
      </c>
      <c r="B8" s="61">
        <v>415</v>
      </c>
      <c r="C8" s="61">
        <v>325</v>
      </c>
      <c r="D8" s="61">
        <v>295</v>
      </c>
      <c r="E8" s="61">
        <v>235</v>
      </c>
      <c r="F8" s="61">
        <v>165</v>
      </c>
      <c r="G8" s="61">
        <v>115</v>
      </c>
      <c r="H8" s="61">
        <v>-1</v>
      </c>
      <c r="I8" s="61">
        <v>65</v>
      </c>
      <c r="J8" s="61">
        <v>105</v>
      </c>
    </row>
    <row r="9" spans="1:10" ht="13.8" x14ac:dyDescent="0.3">
      <c r="A9" s="59" t="s">
        <v>96</v>
      </c>
      <c r="B9" s="62">
        <v>480</v>
      </c>
      <c r="C9" s="62">
        <v>390</v>
      </c>
      <c r="D9" s="62">
        <v>355</v>
      </c>
      <c r="E9" s="62">
        <v>300</v>
      </c>
      <c r="F9" s="62">
        <v>230</v>
      </c>
      <c r="G9" s="62">
        <v>180</v>
      </c>
      <c r="H9" s="62">
        <v>65</v>
      </c>
      <c r="I9" s="62">
        <v>-1</v>
      </c>
      <c r="J9" s="62">
        <v>40</v>
      </c>
    </row>
    <row r="10" spans="1:10" ht="13.8" x14ac:dyDescent="0.3">
      <c r="A10" s="60" t="s">
        <v>97</v>
      </c>
      <c r="B10" s="61">
        <v>525</v>
      </c>
      <c r="C10" s="61">
        <v>430</v>
      </c>
      <c r="D10" s="61">
        <v>400</v>
      </c>
      <c r="E10" s="61">
        <v>340</v>
      </c>
      <c r="F10" s="61">
        <v>270</v>
      </c>
      <c r="G10" s="61">
        <v>220</v>
      </c>
      <c r="H10" s="61">
        <v>105</v>
      </c>
      <c r="I10" s="61">
        <v>40</v>
      </c>
      <c r="J10" s="61">
        <v>-1</v>
      </c>
    </row>
    <row r="12" spans="1:10" x14ac:dyDescent="0.25">
      <c r="A12" t="s">
        <v>43</v>
      </c>
      <c r="B12" t="s">
        <v>99</v>
      </c>
    </row>
    <row r="13" spans="1:10" x14ac:dyDescent="0.25">
      <c r="A13">
        <v>10100</v>
      </c>
      <c r="B13" t="s">
        <v>89</v>
      </c>
    </row>
    <row r="14" spans="1:10" x14ac:dyDescent="0.25">
      <c r="A14">
        <v>10102</v>
      </c>
      <c r="B14" t="s">
        <v>90</v>
      </c>
    </row>
    <row r="15" spans="1:10" x14ac:dyDescent="0.25">
      <c r="A15">
        <v>10104</v>
      </c>
      <c r="B15" t="s">
        <v>91</v>
      </c>
    </row>
    <row r="16" spans="1:10" x14ac:dyDescent="0.25">
      <c r="A16">
        <v>10106</v>
      </c>
      <c r="B16" t="s">
        <v>92</v>
      </c>
    </row>
    <row r="17" spans="1:3" x14ac:dyDescent="0.25">
      <c r="A17">
        <v>10108</v>
      </c>
      <c r="B17" t="s">
        <v>93</v>
      </c>
    </row>
    <row r="18" spans="1:3" x14ac:dyDescent="0.25">
      <c r="A18">
        <v>10110</v>
      </c>
      <c r="B18" t="s">
        <v>94</v>
      </c>
    </row>
    <row r="19" spans="1:3" x14ac:dyDescent="0.25">
      <c r="A19">
        <v>10112</v>
      </c>
      <c r="B19" t="s">
        <v>95</v>
      </c>
    </row>
    <row r="20" spans="1:3" x14ac:dyDescent="0.25">
      <c r="A20">
        <v>10114</v>
      </c>
      <c r="B20" t="s">
        <v>96</v>
      </c>
    </row>
    <row r="21" spans="1:3" x14ac:dyDescent="0.25">
      <c r="A21">
        <v>10116</v>
      </c>
      <c r="B21" t="s">
        <v>97</v>
      </c>
    </row>
    <row r="23" spans="1:3" x14ac:dyDescent="0.25">
      <c r="A23" t="s">
        <v>100</v>
      </c>
      <c r="B23" t="s">
        <v>101</v>
      </c>
      <c r="C23" t="s">
        <v>102</v>
      </c>
    </row>
    <row r="24" spans="1:3" x14ac:dyDescent="0.25">
      <c r="A24">
        <v>10100</v>
      </c>
      <c r="B24">
        <v>10102</v>
      </c>
      <c r="C24">
        <f>INDEX($B$2:$J$10,MATCH(Table13[[#This Row],[name_1]],ID_Name[ID],0),MATCH(Table13[[#This Row],[name_2]],ID_Name[ID],0))</f>
        <v>95</v>
      </c>
    </row>
    <row r="25" spans="1:3" x14ac:dyDescent="0.25">
      <c r="A25">
        <v>10100</v>
      </c>
      <c r="B25">
        <v>10104</v>
      </c>
      <c r="C25">
        <f>INDEX($B$2:$J$10,MATCH(Table13[[#This Row],[name_1]],ID_Name[ID],0),MATCH(Table13[[#This Row],[name_2]],ID_Name[ID],0))</f>
        <v>-1</v>
      </c>
    </row>
    <row r="26" spans="1:3" x14ac:dyDescent="0.25">
      <c r="A26">
        <v>10108</v>
      </c>
      <c r="B26">
        <v>10102</v>
      </c>
      <c r="C26">
        <f>INDEX($B$2:$J$10,MATCH(Table13[[#This Row],[name_1]],ID_Name[ID],0),MATCH(Table13[[#This Row],[name_2]],ID_Name[ID],0))</f>
        <v>160</v>
      </c>
    </row>
    <row r="27" spans="1:3" x14ac:dyDescent="0.25">
      <c r="A27">
        <v>10100</v>
      </c>
      <c r="B27">
        <v>10106</v>
      </c>
      <c r="C27">
        <f>INDEX($B$2:$J$10,MATCH(Table13[[#This Row],[name_1]],ID_Name[ID],0),MATCH(Table13[[#This Row],[name_2]],ID_Name[ID],0))</f>
        <v>185</v>
      </c>
    </row>
    <row r="28" spans="1:3" x14ac:dyDescent="0.25">
      <c r="A28">
        <v>10108</v>
      </c>
      <c r="B28">
        <v>10110</v>
      </c>
      <c r="C28">
        <f>INDEX($B$2:$J$10,MATCH(Table13[[#This Row],[name_1]],ID_Name[ID],0),MATCH(Table13[[#This Row],[name_2]],ID_Name[ID],0))</f>
        <v>50</v>
      </c>
    </row>
    <row r="29" spans="1:3" x14ac:dyDescent="0.25">
      <c r="A29">
        <v>10102</v>
      </c>
      <c r="B29">
        <v>10104</v>
      </c>
      <c r="C29">
        <f>INDEX($B$2:$J$10,MATCH(Table13[[#This Row],[name_1]],ID_Name[ID],0),MATCH(Table13[[#This Row],[name_2]],ID_Name[ID],0))</f>
        <v>-1</v>
      </c>
    </row>
    <row r="30" spans="1:3" x14ac:dyDescent="0.25">
      <c r="A30">
        <v>10106</v>
      </c>
      <c r="B30">
        <v>10108</v>
      </c>
      <c r="C30">
        <f>INDEX($B$2:$J$10,MATCH(Table13[[#This Row],[name_1]],ID_Name[ID],0),MATCH(Table13[[#This Row],[name_2]],ID_Name[ID],0))</f>
        <v>70</v>
      </c>
    </row>
    <row r="31" spans="1:3" x14ac:dyDescent="0.25">
      <c r="A31">
        <v>10102</v>
      </c>
      <c r="B31">
        <v>10106</v>
      </c>
      <c r="C31">
        <f>INDEX($B$2:$J$10,MATCH(Table13[[#This Row],[name_1]],ID_Name[ID],0),MATCH(Table13[[#This Row],[name_2]],ID_Name[ID],0))</f>
        <v>90</v>
      </c>
    </row>
    <row r="32" spans="1:3" x14ac:dyDescent="0.25">
      <c r="A32">
        <v>10110</v>
      </c>
      <c r="B32">
        <v>10114</v>
      </c>
      <c r="C32">
        <f>INDEX($B$2:$J$10,MATCH(Table13[[#This Row],[name_1]],ID_Name[ID],0),MATCH(Table13[[#This Row],[name_2]],ID_Name[ID],0))</f>
        <v>180</v>
      </c>
    </row>
    <row r="33" spans="1:3" x14ac:dyDescent="0.25">
      <c r="A33">
        <v>10104</v>
      </c>
      <c r="B33">
        <v>10106</v>
      </c>
      <c r="C33">
        <f>INDEX($B$2:$J$10,MATCH(Table13[[#This Row],[name_1]],ID_Name[ID],0),MATCH(Table13[[#This Row],[name_2]],ID_Name[ID],0))</f>
        <v>60</v>
      </c>
    </row>
    <row r="34" spans="1:3" x14ac:dyDescent="0.25">
      <c r="A34">
        <v>10110</v>
      </c>
      <c r="B34">
        <v>10112</v>
      </c>
      <c r="C34">
        <f>INDEX($B$2:$J$10,MATCH(Table13[[#This Row],[name_1]],ID_Name[ID],0),MATCH(Table13[[#This Row],[name_2]],ID_Name[ID],0))</f>
        <v>115</v>
      </c>
    </row>
    <row r="35" spans="1:3" x14ac:dyDescent="0.25">
      <c r="A35">
        <v>10100</v>
      </c>
      <c r="B35">
        <v>10114</v>
      </c>
      <c r="C35">
        <f>INDEX($B$2:$J$10,MATCH(Table13[[#This Row],[name_1]],ID_Name[ID],0),MATCH(Table13[[#This Row],[name_2]],ID_Name[ID],0))</f>
        <v>480</v>
      </c>
    </row>
    <row r="36" spans="1:3" x14ac:dyDescent="0.25">
      <c r="A36">
        <v>10112</v>
      </c>
      <c r="B36">
        <v>10116</v>
      </c>
      <c r="C36">
        <f>INDEX($B$2:$J$10,MATCH(Table13[[#This Row],[name_1]],ID_Name[ID],0),MATCH(Table13[[#This Row],[name_2]],ID_Name[ID],0))</f>
        <v>105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Dataset</vt:lpstr>
      <vt:lpstr>Task_1</vt:lpstr>
      <vt:lpstr>Task1 - Solved</vt:lpstr>
      <vt:lpstr>Task_2 - Solved</vt:lpstr>
      <vt:lpstr>Task_3 - Solved</vt:lpstr>
      <vt:lpstr>Task_4 - Solved</vt:lpstr>
      <vt:lpstr>Task_5</vt:lpstr>
      <vt:lpstr>Task 5 - Solution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Aman</cp:lastModifiedBy>
  <dcterms:created xsi:type="dcterms:W3CDTF">2015-02-10T17:33:11Z</dcterms:created>
  <dcterms:modified xsi:type="dcterms:W3CDTF">2023-12-11T18:39:02Z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2023-12-10T14:04:52Z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a93763d6-289f-4402-81ea-53d94edf64c5</vt:lpwstr>
  </property>
  <property fmtid="{D5CDD505-2E9C-101B-9397-08002B2CF9AE}" pid="7" name="MSIP_Label_defa4170-0d19-0005-0004-bc88714345d2_ActionId">
    <vt:lpwstr>38e630ce-175b-4855-a149-0a32e71c572a</vt:lpwstr>
  </property>
  <property fmtid="{D5CDD505-2E9C-101B-9397-08002B2CF9AE}" pid="8" name="MSIP_Label_defa4170-0d19-0005-0004-bc88714345d2_ContentBits">
    <vt:lpwstr>0</vt:lpwstr>
  </property>
</Properties>
</file>